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olarship threshold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<sst xmlns="http://schemas.openxmlformats.org/spreadsheetml/2006/main" count="86" uniqueCount="70">
  <si>
    <t xml:space="preserve">Umoja — scholarship thresholds</t>
  </si>
  <si>
    <t xml:space="preserve">Two full-scholarship floors: 130% of the poverty guideline for the lower-cost tiers, 185% for Premier and Elite.</t>
  </si>
  <si>
    <t xml:space="preserve">Read the row for household size. The first four columns are upper bounds; the last is everything above the fourth.</t>
  </si>
  <si>
    <t xml:space="preserve">Inputs — change these each January</t>
  </si>
  <si>
    <t xml:space="preserve">Poverty guideline, 1 person</t>
  </si>
  <si>
    <t xml:space="preserve">2026 HHS, 48 contiguous states</t>
  </si>
  <si>
    <t xml:space="preserve">Added per additional person</t>
  </si>
  <si>
    <t xml:space="preserve">2026 HHS</t>
  </si>
  <si>
    <t xml:space="preserve">Floor — lower-cost tiers</t>
  </si>
  <si>
    <t xml:space="preserve">130% FPL — free school lunch line</t>
  </si>
  <si>
    <t xml:space="preserve">Floor — Premier and Elite</t>
  </si>
  <si>
    <t xml:space="preserve">185% FPL — reduced-price lunch line</t>
  </si>
  <si>
    <t xml:space="preserve">Households larger than 8</t>
  </si>
  <si>
    <t xml:space="preserve">Add $5,680 to the POVERTY GUIDELINE for each additional person, then apply the multipliers. Do not add $5,680 to a threshold.</t>
  </si>
  <si>
    <t xml:space="preserve">Foundations U6–U10  —  $525 program fee</t>
  </si>
  <si>
    <t xml:space="preserve">floor 130%  ·  full-price multiplier 2.0847</t>
  </si>
  <si>
    <t xml:space="preserve">People in home</t>
  </si>
  <si>
    <t xml:space="preserve">100% scholarship
family pays $0</t>
  </si>
  <si>
    <t xml:space="preserve">75% scholarship
pays $131</t>
  </si>
  <si>
    <t xml:space="preserve">50% scholarship
pays $262</t>
  </si>
  <si>
    <t xml:space="preserve">25% scholarship
pays $394</t>
  </si>
  <si>
    <t xml:space="preserve">No scholarship
pays $525</t>
  </si>
  <si>
    <t xml:space="preserve">Rec U11–U19  —  $425 program fee</t>
  </si>
  <si>
    <t xml:space="preserve">floor 130%  ·  full-price multiplier 2.0125</t>
  </si>
  <si>
    <t xml:space="preserve">75% scholarship
pays $106</t>
  </si>
  <si>
    <t xml:space="preserve">50% scholarship
pays $212</t>
  </si>
  <si>
    <t xml:space="preserve">25% scholarship
pays $319</t>
  </si>
  <si>
    <t xml:space="preserve">No scholarship
pays $425</t>
  </si>
  <si>
    <t xml:space="preserve">Development U11–U19  —  $1,700 program fee</t>
  </si>
  <si>
    <t xml:space="preserve">floor 130%  ·  full-price multiplier 3.1667</t>
  </si>
  <si>
    <t xml:space="preserve">75% scholarship
pays $425</t>
  </si>
  <si>
    <t xml:space="preserve">50% scholarship
pays $850</t>
  </si>
  <si>
    <t xml:space="preserve">25% scholarship
pays $1,275</t>
  </si>
  <si>
    <t xml:space="preserve">No scholarship
pays $1,700</t>
  </si>
  <si>
    <t xml:space="preserve">Competitive U11–U19  —  $1,725 program fee</t>
  </si>
  <si>
    <t xml:space="preserve">floor 130%  ·  full-price multiplier 3.1833</t>
  </si>
  <si>
    <t xml:space="preserve">75% scholarship
pays $431</t>
  </si>
  <si>
    <t xml:space="preserve">50% scholarship
pays $862</t>
  </si>
  <si>
    <t xml:space="preserve">25% scholarship
pays $1,294</t>
  </si>
  <si>
    <t xml:space="preserve">No scholarship
pays $1,725</t>
  </si>
  <si>
    <t xml:space="preserve">Premier U11–U12  —  $3,150 program fee</t>
  </si>
  <si>
    <t xml:space="preserve">floor 185%  ·  full-price multiplier 3.7209</t>
  </si>
  <si>
    <t xml:space="preserve">75% scholarship
pays $788</t>
  </si>
  <si>
    <t xml:space="preserve">50% scholarship
pays $1,575</t>
  </si>
  <si>
    <t xml:space="preserve">25% scholarship
pays $2,362</t>
  </si>
  <si>
    <t xml:space="preserve">No scholarship
pays $3,150</t>
  </si>
  <si>
    <t xml:space="preserve">Premier U13–U19  —  $3,275 program fee</t>
  </si>
  <si>
    <t xml:space="preserve">floor 185%  ·  full-price multiplier 3.75</t>
  </si>
  <si>
    <t xml:space="preserve">75% scholarship
pays $819</t>
  </si>
  <si>
    <t xml:space="preserve">50% scholarship
pays $1,638</t>
  </si>
  <si>
    <t xml:space="preserve">25% scholarship
pays $2,456</t>
  </si>
  <si>
    <t xml:space="preserve">No scholarship
pays $3,275</t>
  </si>
  <si>
    <t xml:space="preserve">Elite U11–U12  —  $3,375 program fee</t>
  </si>
  <si>
    <t xml:space="preserve">floor 185%  ·  full-price multiplier 3.7733</t>
  </si>
  <si>
    <t xml:space="preserve">75% scholarship
pays $844</t>
  </si>
  <si>
    <t xml:space="preserve">50% scholarship
pays $1,688</t>
  </si>
  <si>
    <t xml:space="preserve">25% scholarship
pays $2,531</t>
  </si>
  <si>
    <t xml:space="preserve">No scholarship
pays $3,375</t>
  </si>
  <si>
    <t xml:space="preserve">Elite U13–U14  —  $3,925 program fee</t>
  </si>
  <si>
    <t xml:space="preserve">floor 185%  ·  full-price multiplier 3.9012</t>
  </si>
  <si>
    <t xml:space="preserve">75% scholarship
pays $981</t>
  </si>
  <si>
    <t xml:space="preserve">50% scholarship
pays $1,962</t>
  </si>
  <si>
    <t xml:space="preserve">25% scholarship
pays $2,944</t>
  </si>
  <si>
    <t xml:space="preserve">No scholarship
pays $3,925</t>
  </si>
  <si>
    <t xml:space="preserve">Elite U15–U18/19  —  $4,150 program fee</t>
  </si>
  <si>
    <t xml:space="preserve">floor 185%  ·  full-price multiplier 3.9535</t>
  </si>
  <si>
    <t xml:space="preserve">75% scholarship
pays $1,038</t>
  </si>
  <si>
    <t xml:space="preserve">50% scholarship
pays $2,075</t>
  </si>
  <si>
    <t xml:space="preserve">25% scholarship
pays $3,112</t>
  </si>
  <si>
    <t xml:space="preserve">No scholarship
pays $4,150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</si>
</sst>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o $&quot;#,##0"/>
    <numFmt numFmtId="166" formatCode="&quot;over $&quot;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5F5F5"/>
      </patternFill>
    </fill>
    <fill>
      <patternFill patternType="solid">
        <fgColor rgb="FFEDEDED"/>
        <bgColor rgb="FFF5F5F5"/>
      </patternFill>
    </fill>
    <fill>
      <patternFill patternType="solid">
        <fgColor rgb="FFF5F5F5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3" t="s">
        <v>4</v>
      </c>
      <c r="B7" s="5" t="n">
        <v>15960</v>
      </c>
      <c r="C7" s="6" t="s">
        <v>5</v>
      </c>
    </row>
    <row r="8" customFormat="false" ht="15" hidden="false" customHeight="false" outlineLevel="0" collapsed="false">
      <c r="A8" s="3" t="s">
        <v>6</v>
      </c>
      <c r="B8" s="5" t="n">
        <v>5680</v>
      </c>
      <c r="C8" s="6" t="s">
        <v>7</v>
      </c>
    </row>
    <row r="9" customFormat="false" ht="15" hidden="false" customHeight="false" outlineLevel="0" collapsed="false">
      <c r="A9" s="3" t="s">
        <v>8</v>
      </c>
      <c r="B9" s="5" t="n">
        <v>1.3</v>
      </c>
      <c r="C9" s="6" t="s">
        <v>9</v>
      </c>
    </row>
    <row r="10" customFormat="false" ht="15" hidden="false" customHeight="false" outlineLevel="0" collapsed="false">
      <c r="A10" s="3" t="s">
        <v>10</v>
      </c>
      <c r="B10" s="5" t="n">
        <v>1.85</v>
      </c>
      <c r="C10" s="6" t="s">
        <v>11</v>
      </c>
    </row>
    <row r="12" customFormat="false" ht="15" hidden="false" customHeight="false" outlineLevel="0" collapsed="false">
      <c r="A12" s="7" t="s">
        <v>12</v>
      </c>
    </row>
    <row r="13" customFormat="false" ht="15" hidden="false" customHeight="false" outlineLevel="0" collapsed="false">
      <c r="A13" s="6" t="s">
        <v>13</v>
      </c>
    </row>
    <row r="16" customFormat="false" ht="15" hidden="false" customHeight="false" outlineLevel="0" collapsed="false">
      <c r="A16" s="4" t="s">
        <v>14</v>
      </c>
      <c r="F16" s="6" t="s">
        <v>15</v>
      </c>
    </row>
    <row r="17" customFormat="false" ht="22.35" hidden="false" customHeight="false" outlineLevel="0" collapsed="false">
      <c r="A17" s="8" t="s">
        <v>16</v>
      </c>
      <c r="B17" s="8" t="s">
        <v>17</v>
      </c>
      <c r="C17" s="8" t="s">
        <v>18</v>
      </c>
      <c r="D17" s="8" t="s">
        <v>19</v>
      </c>
      <c r="E17" s="8" t="s">
        <v>20</v>
      </c>
      <c r="F17" s="8" t="s">
        <v>21</v>
      </c>
    </row>
    <row r="18" customFormat="false" ht="15" hidden="false" customHeight="false" outlineLevel="0" collapsed="false">
      <c r="A18" s="9" t="n">
        <v>1</v>
      </c>
      <c r="B18" s="10" t="n">
        <f aca="false">ROUND($B$9*($B$7+$B$8*(1-1)),0)</f>
        <v>20748</v>
      </c>
      <c r="C18" s="11" t="n">
        <f aca="false">ROUND(B18+(E18-B18)/3,0)</f>
        <v>24923</v>
      </c>
      <c r="D18" s="11" t="n">
        <f aca="false">ROUND(B18+2*(E18-B18)/3,0)</f>
        <v>29097</v>
      </c>
      <c r="E18" s="11" t="n">
        <f aca="false">ROUND(2.0847*($B$7+$B$8*(1-1)),0)</f>
        <v>33272</v>
      </c>
      <c r="F18" s="12" t="n">
        <f aca="false">E18</f>
        <v>33272</v>
      </c>
    </row>
    <row r="19" customFormat="false" ht="15" hidden="false" customHeight="false" outlineLevel="0" collapsed="false">
      <c r="A19" s="9" t="n">
        <v>2</v>
      </c>
      <c r="B19" s="10" t="n">
        <f aca="false">ROUND($B$9*($B$7+$B$8*(2-1)),0)</f>
        <v>28132</v>
      </c>
      <c r="C19" s="11" t="n">
        <f aca="false">ROUND(B19+(E19-B19)/3,0)</f>
        <v>33792</v>
      </c>
      <c r="D19" s="11" t="n">
        <f aca="false">ROUND(B19+2*(E19-B19)/3,0)</f>
        <v>39453</v>
      </c>
      <c r="E19" s="11" t="n">
        <f aca="false">ROUND(2.0847*($B$7+$B$8*(2-1)),0)</f>
        <v>45113</v>
      </c>
      <c r="F19" s="12" t="n">
        <f aca="false">E19</f>
        <v>45113</v>
      </c>
    </row>
    <row r="20" customFormat="false" ht="15" hidden="false" customHeight="false" outlineLevel="0" collapsed="false">
      <c r="A20" s="9" t="n">
        <v>3</v>
      </c>
      <c r="B20" s="10" t="n">
        <f aca="false">ROUND($B$9*($B$7+$B$8*(3-1)),0)</f>
        <v>35516</v>
      </c>
      <c r="C20" s="11" t="n">
        <f aca="false">ROUND(B20+(E20-B20)/3,0)</f>
        <v>42662</v>
      </c>
      <c r="D20" s="11" t="n">
        <f aca="false">ROUND(B20+2*(E20-B20)/3,0)</f>
        <v>49808</v>
      </c>
      <c r="E20" s="11" t="n">
        <f aca="false">ROUND(2.0847*($B$7+$B$8*(3-1)),0)</f>
        <v>56954</v>
      </c>
      <c r="F20" s="12" t="n">
        <f aca="false">E20</f>
        <v>56954</v>
      </c>
    </row>
    <row r="21" customFormat="false" ht="15" hidden="false" customHeight="false" outlineLevel="0" collapsed="false">
      <c r="A21" s="9" t="n">
        <v>4</v>
      </c>
      <c r="B21" s="10" t="n">
        <f aca="false">ROUND($B$9*($B$7+$B$8*(4-1)),0)</f>
        <v>42900</v>
      </c>
      <c r="C21" s="11" t="n">
        <f aca="false">ROUND(B21+(E21-B21)/3,0)</f>
        <v>51532</v>
      </c>
      <c r="D21" s="11" t="n">
        <f aca="false">ROUND(B21+2*(E21-B21)/3,0)</f>
        <v>60163</v>
      </c>
      <c r="E21" s="11" t="n">
        <f aca="false">ROUND(2.0847*($B$7+$B$8*(4-1)),0)</f>
        <v>68795</v>
      </c>
      <c r="F21" s="12" t="n">
        <f aca="false">E21</f>
        <v>68795</v>
      </c>
    </row>
    <row r="22" customFormat="false" ht="15" hidden="false" customHeight="false" outlineLevel="0" collapsed="false">
      <c r="A22" s="9" t="n">
        <v>5</v>
      </c>
      <c r="B22" s="10" t="n">
        <f aca="false">ROUND($B$9*($B$7+$B$8*(5-1)),0)</f>
        <v>50284</v>
      </c>
      <c r="C22" s="11" t="n">
        <f aca="false">ROUND(B22+(E22-B22)/3,0)</f>
        <v>60401</v>
      </c>
      <c r="D22" s="11" t="n">
        <f aca="false">ROUND(B22+2*(E22-B22)/3,0)</f>
        <v>70519</v>
      </c>
      <c r="E22" s="11" t="n">
        <f aca="false">ROUND(2.0847*($B$7+$B$8*(5-1)),0)</f>
        <v>80636</v>
      </c>
      <c r="F22" s="12" t="n">
        <f aca="false">E22</f>
        <v>80636</v>
      </c>
    </row>
    <row r="23" customFormat="false" ht="15" hidden="false" customHeight="false" outlineLevel="0" collapsed="false">
      <c r="A23" s="9" t="n">
        <v>6</v>
      </c>
      <c r="B23" s="10" t="n">
        <f aca="false">ROUND($B$9*($B$7+$B$8*(6-1)),0)</f>
        <v>57668</v>
      </c>
      <c r="C23" s="11" t="n">
        <f aca="false">ROUND(B23+(E23-B23)/3,0)</f>
        <v>69271</v>
      </c>
      <c r="D23" s="11" t="n">
        <f aca="false">ROUND(B23+2*(E23-B23)/3,0)</f>
        <v>80874</v>
      </c>
      <c r="E23" s="11" t="n">
        <f aca="false">ROUND(2.0847*($B$7+$B$8*(6-1)),0)</f>
        <v>92477</v>
      </c>
      <c r="F23" s="12" t="n">
        <f aca="false">E23</f>
        <v>92477</v>
      </c>
    </row>
    <row r="24" customFormat="false" ht="15" hidden="false" customHeight="false" outlineLevel="0" collapsed="false">
      <c r="A24" s="9" t="n">
        <v>7</v>
      </c>
      <c r="B24" s="10" t="n">
        <f aca="false">ROUND($B$9*($B$7+$B$8*(7-1)),0)</f>
        <v>65052</v>
      </c>
      <c r="C24" s="11" t="n">
        <f aca="false">ROUND(B24+(E24-B24)/3,0)</f>
        <v>78141</v>
      </c>
      <c r="D24" s="11" t="n">
        <f aca="false">ROUND(B24+2*(E24-B24)/3,0)</f>
        <v>91229</v>
      </c>
      <c r="E24" s="11" t="n">
        <f aca="false">ROUND(2.0847*($B$7+$B$8*(7-1)),0)</f>
        <v>104318</v>
      </c>
      <c r="F24" s="12" t="n">
        <f aca="false">E24</f>
        <v>104318</v>
      </c>
    </row>
    <row r="25" customFormat="false" ht="15" hidden="false" customHeight="false" outlineLevel="0" collapsed="false">
      <c r="A25" s="9" t="n">
        <v>8</v>
      </c>
      <c r="B25" s="10" t="n">
        <f aca="false">ROUND($B$9*($B$7+$B$8*(8-1)),0)</f>
        <v>72436</v>
      </c>
      <c r="C25" s="11" t="n">
        <f aca="false">ROUND(B25+(E25-B25)/3,0)</f>
        <v>87010</v>
      </c>
      <c r="D25" s="11" t="n">
        <f aca="false">ROUND(B25+2*(E25-B25)/3,0)</f>
        <v>101585</v>
      </c>
      <c r="E25" s="11" t="n">
        <f aca="false">ROUND(2.0847*($B$7+$B$8*(8-1)),0)</f>
        <v>116159</v>
      </c>
      <c r="F25" s="12" t="n">
        <f aca="false">E25</f>
        <v>116159</v>
      </c>
    </row>
    <row r="29" customFormat="false" ht="15" hidden="false" customHeight="false" outlineLevel="0" collapsed="false">
      <c r="A29" s="4" t="s">
        <v>22</v>
      </c>
      <c r="F29" s="6" t="s">
        <v>23</v>
      </c>
    </row>
    <row r="30" customFormat="false" ht="22.35" hidden="false" customHeight="false" outlineLevel="0" collapsed="false">
      <c r="A30" s="8" t="s">
        <v>16</v>
      </c>
      <c r="B30" s="8" t="s">
        <v>17</v>
      </c>
      <c r="C30" s="8" t="s">
        <v>24</v>
      </c>
      <c r="D30" s="8" t="s">
        <v>25</v>
      </c>
      <c r="E30" s="8" t="s">
        <v>26</v>
      </c>
      <c r="F30" s="8" t="s">
        <v>27</v>
      </c>
    </row>
    <row r="31" customFormat="false" ht="15" hidden="false" customHeight="false" outlineLevel="0" collapsed="false">
      <c r="A31" s="9" t="n">
        <v>1</v>
      </c>
      <c r="B31" s="10" t="n">
        <f aca="false">ROUND($B$9*($B$7+$B$8*(1-1)),0)</f>
        <v>20748</v>
      </c>
      <c r="C31" s="11" t="n">
        <f aca="false">ROUND(B31+(E31-B31)/3,0)</f>
        <v>24539</v>
      </c>
      <c r="D31" s="11" t="n">
        <f aca="false">ROUND(B31+2*(E31-B31)/3,0)</f>
        <v>28329</v>
      </c>
      <c r="E31" s="11" t="n">
        <f aca="false">ROUND(2.0125*($B$7+$B$8*(1-1)),0)</f>
        <v>32120</v>
      </c>
      <c r="F31" s="12" t="n">
        <f aca="false">E31</f>
        <v>32120</v>
      </c>
    </row>
    <row r="32" customFormat="false" ht="15" hidden="false" customHeight="false" outlineLevel="0" collapsed="false">
      <c r="A32" s="9" t="n">
        <v>2</v>
      </c>
      <c r="B32" s="10" t="n">
        <f aca="false">ROUND($B$9*($B$7+$B$8*(2-1)),0)</f>
        <v>28132</v>
      </c>
      <c r="C32" s="11" t="n">
        <f aca="false">ROUND(B32+(E32-B32)/3,0)</f>
        <v>33272</v>
      </c>
      <c r="D32" s="11" t="n">
        <f aca="false">ROUND(B32+2*(E32-B32)/3,0)</f>
        <v>38411</v>
      </c>
      <c r="E32" s="11" t="n">
        <f aca="false">ROUND(2.0125*($B$7+$B$8*(2-1)),0)</f>
        <v>43551</v>
      </c>
      <c r="F32" s="12" t="n">
        <f aca="false">E32</f>
        <v>43551</v>
      </c>
    </row>
    <row r="33" customFormat="false" ht="15" hidden="false" customHeight="false" outlineLevel="0" collapsed="false">
      <c r="A33" s="9" t="n">
        <v>3</v>
      </c>
      <c r="B33" s="10" t="n">
        <f aca="false">ROUND($B$9*($B$7+$B$8*(3-1)),0)</f>
        <v>35516</v>
      </c>
      <c r="C33" s="11" t="n">
        <f aca="false">ROUND(B33+(E33-B33)/3,0)</f>
        <v>42005</v>
      </c>
      <c r="D33" s="11" t="n">
        <f aca="false">ROUND(B33+2*(E33-B33)/3,0)</f>
        <v>48493</v>
      </c>
      <c r="E33" s="11" t="n">
        <f aca="false">ROUND(2.0125*($B$7+$B$8*(3-1)),0)</f>
        <v>54982</v>
      </c>
      <c r="F33" s="12" t="n">
        <f aca="false">E33</f>
        <v>54982</v>
      </c>
    </row>
    <row r="34" customFormat="false" ht="15" hidden="false" customHeight="false" outlineLevel="0" collapsed="false">
      <c r="A34" s="9" t="n">
        <v>4</v>
      </c>
      <c r="B34" s="10" t="n">
        <f aca="false">ROUND($B$9*($B$7+$B$8*(4-1)),0)</f>
        <v>42900</v>
      </c>
      <c r="C34" s="11" t="n">
        <f aca="false">ROUND(B34+(E34-B34)/3,0)</f>
        <v>50738</v>
      </c>
      <c r="D34" s="11" t="n">
        <f aca="false">ROUND(B34+2*(E34-B34)/3,0)</f>
        <v>58575</v>
      </c>
      <c r="E34" s="11" t="n">
        <f aca="false">ROUND(2.0125*($B$7+$B$8*(4-1)),0)</f>
        <v>66413</v>
      </c>
      <c r="F34" s="12" t="n">
        <f aca="false">E34</f>
        <v>66413</v>
      </c>
    </row>
    <row r="35" customFormat="false" ht="15" hidden="false" customHeight="false" outlineLevel="0" collapsed="false">
      <c r="A35" s="9" t="n">
        <v>5</v>
      </c>
      <c r="B35" s="10" t="n">
        <f aca="false">ROUND($B$9*($B$7+$B$8*(5-1)),0)</f>
        <v>50284</v>
      </c>
      <c r="C35" s="11" t="n">
        <f aca="false">ROUND(B35+(E35-B35)/3,0)</f>
        <v>59471</v>
      </c>
      <c r="D35" s="11" t="n">
        <f aca="false">ROUND(B35+2*(E35-B35)/3,0)</f>
        <v>68657</v>
      </c>
      <c r="E35" s="11" t="n">
        <f aca="false">ROUND(2.0125*($B$7+$B$8*(5-1)),0)</f>
        <v>77844</v>
      </c>
      <c r="F35" s="12" t="n">
        <f aca="false">E35</f>
        <v>77844</v>
      </c>
    </row>
    <row r="36" customFormat="false" ht="15" hidden="false" customHeight="false" outlineLevel="0" collapsed="false">
      <c r="A36" s="9" t="n">
        <v>6</v>
      </c>
      <c r="B36" s="10" t="n">
        <f aca="false">ROUND($B$9*($B$7+$B$8*(6-1)),0)</f>
        <v>57668</v>
      </c>
      <c r="C36" s="11" t="n">
        <f aca="false">ROUND(B36+(E36-B36)/3,0)</f>
        <v>68204</v>
      </c>
      <c r="D36" s="11" t="n">
        <f aca="false">ROUND(B36+2*(E36-B36)/3,0)</f>
        <v>78739</v>
      </c>
      <c r="E36" s="11" t="n">
        <f aca="false">ROUND(2.0125*($B$7+$B$8*(6-1)),0)</f>
        <v>89275</v>
      </c>
      <c r="F36" s="12" t="n">
        <f aca="false">E36</f>
        <v>89275</v>
      </c>
    </row>
    <row r="37" customFormat="false" ht="15" hidden="false" customHeight="false" outlineLevel="0" collapsed="false">
      <c r="A37" s="9" t="n">
        <v>7</v>
      </c>
      <c r="B37" s="10" t="n">
        <f aca="false">ROUND($B$9*($B$7+$B$8*(7-1)),0)</f>
        <v>65052</v>
      </c>
      <c r="C37" s="11" t="n">
        <f aca="false">ROUND(B37+(E37-B37)/3,0)</f>
        <v>76937</v>
      </c>
      <c r="D37" s="11" t="n">
        <f aca="false">ROUND(B37+2*(E37-B37)/3,0)</f>
        <v>88821</v>
      </c>
      <c r="E37" s="11" t="n">
        <f aca="false">ROUND(2.0125*($B$7+$B$8*(7-1)),0)</f>
        <v>100706</v>
      </c>
      <c r="F37" s="12" t="n">
        <f aca="false">E37</f>
        <v>100706</v>
      </c>
    </row>
    <row r="38" customFormat="false" ht="15" hidden="false" customHeight="false" outlineLevel="0" collapsed="false">
      <c r="A38" s="9" t="n">
        <v>8</v>
      </c>
      <c r="B38" s="10" t="n">
        <f aca="false">ROUND($B$9*($B$7+$B$8*(8-1)),0)</f>
        <v>72436</v>
      </c>
      <c r="C38" s="11" t="n">
        <f aca="false">ROUND(B38+(E38-B38)/3,0)</f>
        <v>85670</v>
      </c>
      <c r="D38" s="11" t="n">
        <f aca="false">ROUND(B38+2*(E38-B38)/3,0)</f>
        <v>98903</v>
      </c>
      <c r="E38" s="11" t="n">
        <f aca="false">ROUND(2.0125*($B$7+$B$8*(8-1)),0)</f>
        <v>112137</v>
      </c>
      <c r="F38" s="12" t="n">
        <f aca="false">E38</f>
        <v>112137</v>
      </c>
    </row>
    <row r="42" customFormat="false" ht="15" hidden="false" customHeight="false" outlineLevel="0" collapsed="false">
      <c r="A42" s="4" t="s">
        <v>28</v>
      </c>
      <c r="F42" s="6" t="s">
        <v>29</v>
      </c>
    </row>
    <row r="43" customFormat="false" ht="22.35" hidden="false" customHeight="false" outlineLevel="0" collapsed="false">
      <c r="A43" s="8" t="s">
        <v>16</v>
      </c>
      <c r="B43" s="8" t="s">
        <v>17</v>
      </c>
      <c r="C43" s="8" t="s">
        <v>30</v>
      </c>
      <c r="D43" s="8" t="s">
        <v>31</v>
      </c>
      <c r="E43" s="8" t="s">
        <v>32</v>
      </c>
      <c r="F43" s="8" t="s">
        <v>33</v>
      </c>
    </row>
    <row r="44" customFormat="false" ht="15" hidden="false" customHeight="false" outlineLevel="0" collapsed="false">
      <c r="A44" s="9" t="n">
        <v>1</v>
      </c>
      <c r="B44" s="10" t="n">
        <f aca="false">ROUND($B$9*($B$7+$B$8*(1-1)),0)</f>
        <v>20748</v>
      </c>
      <c r="C44" s="11" t="n">
        <f aca="false">ROUND(B44+(E44-B44)/3,0)</f>
        <v>30679</v>
      </c>
      <c r="D44" s="11" t="n">
        <f aca="false">ROUND(B44+2*(E44-B44)/3,0)</f>
        <v>40610</v>
      </c>
      <c r="E44" s="11" t="n">
        <f aca="false">ROUND(3.1667*($B$7+$B$8*(1-1)),0)</f>
        <v>50541</v>
      </c>
      <c r="F44" s="12" t="n">
        <f aca="false">E44</f>
        <v>50541</v>
      </c>
    </row>
    <row r="45" customFormat="false" ht="15" hidden="false" customHeight="false" outlineLevel="0" collapsed="false">
      <c r="A45" s="9" t="n">
        <v>2</v>
      </c>
      <c r="B45" s="10" t="n">
        <f aca="false">ROUND($B$9*($B$7+$B$8*(2-1)),0)</f>
        <v>28132</v>
      </c>
      <c r="C45" s="11" t="n">
        <f aca="false">ROUND(B45+(E45-B45)/3,0)</f>
        <v>41597</v>
      </c>
      <c r="D45" s="11" t="n">
        <f aca="false">ROUND(B45+2*(E45-B45)/3,0)</f>
        <v>55062</v>
      </c>
      <c r="E45" s="11" t="n">
        <f aca="false">ROUND(3.1667*($B$7+$B$8*(2-1)),0)</f>
        <v>68527</v>
      </c>
      <c r="F45" s="12" t="n">
        <f aca="false">E45</f>
        <v>68527</v>
      </c>
    </row>
    <row r="46" customFormat="false" ht="15" hidden="false" customHeight="false" outlineLevel="0" collapsed="false">
      <c r="A46" s="9" t="n">
        <v>3</v>
      </c>
      <c r="B46" s="10" t="n">
        <f aca="false">ROUND($B$9*($B$7+$B$8*(3-1)),0)</f>
        <v>35516</v>
      </c>
      <c r="C46" s="11" t="n">
        <f aca="false">ROUND(B46+(E46-B46)/3,0)</f>
        <v>52515</v>
      </c>
      <c r="D46" s="11" t="n">
        <f aca="false">ROUND(B46+2*(E46-B46)/3,0)</f>
        <v>69515</v>
      </c>
      <c r="E46" s="11" t="n">
        <f aca="false">ROUND(3.1667*($B$7+$B$8*(3-1)),0)</f>
        <v>86514</v>
      </c>
      <c r="F46" s="12" t="n">
        <f aca="false">E46</f>
        <v>86514</v>
      </c>
    </row>
    <row r="47" customFormat="false" ht="15" hidden="false" customHeight="false" outlineLevel="0" collapsed="false">
      <c r="A47" s="9" t="n">
        <v>4</v>
      </c>
      <c r="B47" s="10" t="n">
        <f aca="false">ROUND($B$9*($B$7+$B$8*(4-1)),0)</f>
        <v>42900</v>
      </c>
      <c r="C47" s="11" t="n">
        <f aca="false">ROUND(B47+(E47-B47)/3,0)</f>
        <v>63434</v>
      </c>
      <c r="D47" s="11" t="n">
        <f aca="false">ROUND(B47+2*(E47-B47)/3,0)</f>
        <v>83967</v>
      </c>
      <c r="E47" s="11" t="n">
        <f aca="false">ROUND(3.1667*($B$7+$B$8*(4-1)),0)</f>
        <v>104501</v>
      </c>
      <c r="F47" s="12" t="n">
        <f aca="false">E47</f>
        <v>104501</v>
      </c>
    </row>
    <row r="48" customFormat="false" ht="15" hidden="false" customHeight="false" outlineLevel="0" collapsed="false">
      <c r="A48" s="9" t="n">
        <v>5</v>
      </c>
      <c r="B48" s="10" t="n">
        <f aca="false">ROUND($B$9*($B$7+$B$8*(5-1)),0)</f>
        <v>50284</v>
      </c>
      <c r="C48" s="11" t="n">
        <f aca="false">ROUND(B48+(E48-B48)/3,0)</f>
        <v>74352</v>
      </c>
      <c r="D48" s="11" t="n">
        <f aca="false">ROUND(B48+2*(E48-B48)/3,0)</f>
        <v>98420</v>
      </c>
      <c r="E48" s="11" t="n">
        <f aca="false">ROUND(3.1667*($B$7+$B$8*(5-1)),0)</f>
        <v>122488</v>
      </c>
      <c r="F48" s="12" t="n">
        <f aca="false">E48</f>
        <v>122488</v>
      </c>
    </row>
    <row r="49" customFormat="false" ht="15" hidden="false" customHeight="false" outlineLevel="0" collapsed="false">
      <c r="A49" s="9" t="n">
        <v>6</v>
      </c>
      <c r="B49" s="10" t="n">
        <f aca="false">ROUND($B$9*($B$7+$B$8*(6-1)),0)</f>
        <v>57668</v>
      </c>
      <c r="C49" s="11" t="n">
        <f aca="false">ROUND(B49+(E49-B49)/3,0)</f>
        <v>85270</v>
      </c>
      <c r="D49" s="11" t="n">
        <f aca="false">ROUND(B49+2*(E49-B49)/3,0)</f>
        <v>112873</v>
      </c>
      <c r="E49" s="11" t="n">
        <f aca="false">ROUND(3.1667*($B$7+$B$8*(6-1)),0)</f>
        <v>140475</v>
      </c>
      <c r="F49" s="12" t="n">
        <f aca="false">E49</f>
        <v>140475</v>
      </c>
    </row>
    <row r="50" customFormat="false" ht="15" hidden="false" customHeight="false" outlineLevel="0" collapsed="false">
      <c r="A50" s="9" t="n">
        <v>7</v>
      </c>
      <c r="B50" s="10" t="n">
        <f aca="false">ROUND($B$9*($B$7+$B$8*(7-1)),0)</f>
        <v>65052</v>
      </c>
      <c r="C50" s="11" t="n">
        <f aca="false">ROUND(B50+(E50-B50)/3,0)</f>
        <v>96189</v>
      </c>
      <c r="D50" s="11" t="n">
        <f aca="false">ROUND(B50+2*(E50-B50)/3,0)</f>
        <v>127325</v>
      </c>
      <c r="E50" s="11" t="n">
        <f aca="false">ROUND(3.1667*($B$7+$B$8*(7-1)),0)</f>
        <v>158462</v>
      </c>
      <c r="F50" s="12" t="n">
        <f aca="false">E50</f>
        <v>158462</v>
      </c>
    </row>
    <row r="51" customFormat="false" ht="15" hidden="false" customHeight="false" outlineLevel="0" collapsed="false">
      <c r="A51" s="9" t="n">
        <v>8</v>
      </c>
      <c r="B51" s="10" t="n">
        <f aca="false">ROUND($B$9*($B$7+$B$8*(8-1)),0)</f>
        <v>72436</v>
      </c>
      <c r="C51" s="11" t="n">
        <f aca="false">ROUND(B51+(E51-B51)/3,0)</f>
        <v>107107</v>
      </c>
      <c r="D51" s="11" t="n">
        <f aca="false">ROUND(B51+2*(E51-B51)/3,0)</f>
        <v>141778</v>
      </c>
      <c r="E51" s="11" t="n">
        <f aca="false">ROUND(3.1667*($B$7+$B$8*(8-1)),0)</f>
        <v>176449</v>
      </c>
      <c r="F51" s="12" t="n">
        <f aca="false">E51</f>
        <v>176449</v>
      </c>
    </row>
    <row r="55" customFormat="false" ht="15" hidden="false" customHeight="false" outlineLevel="0" collapsed="false">
      <c r="A55" s="4" t="s">
        <v>34</v>
      </c>
      <c r="F55" s="6" t="s">
        <v>35</v>
      </c>
    </row>
    <row r="56" customFormat="false" ht="22.35" hidden="false" customHeight="false" outlineLevel="0" collapsed="false">
      <c r="A56" s="8" t="s">
        <v>16</v>
      </c>
      <c r="B56" s="8" t="s">
        <v>17</v>
      </c>
      <c r="C56" s="8" t="s">
        <v>36</v>
      </c>
      <c r="D56" s="8" t="s">
        <v>37</v>
      </c>
      <c r="E56" s="8" t="s">
        <v>38</v>
      </c>
      <c r="F56" s="8" t="s">
        <v>39</v>
      </c>
    </row>
    <row r="57" customFormat="false" ht="15" hidden="false" customHeight="false" outlineLevel="0" collapsed="false">
      <c r="A57" s="9" t="n">
        <v>1</v>
      </c>
      <c r="B57" s="10" t="n">
        <f aca="false">ROUND($B$9*($B$7+$B$8*(1-1)),0)</f>
        <v>20748</v>
      </c>
      <c r="C57" s="11" t="n">
        <f aca="false">ROUND(B57+(E57-B57)/3,0)</f>
        <v>30767</v>
      </c>
      <c r="D57" s="11" t="n">
        <f aca="false">ROUND(B57+2*(E57-B57)/3,0)</f>
        <v>40786</v>
      </c>
      <c r="E57" s="11" t="n">
        <f aca="false">ROUND(3.1833*($B$7+$B$8*(1-1)),0)</f>
        <v>50805</v>
      </c>
      <c r="F57" s="12" t="n">
        <f aca="false">E57</f>
        <v>50805</v>
      </c>
    </row>
    <row r="58" customFormat="false" ht="15" hidden="false" customHeight="false" outlineLevel="0" collapsed="false">
      <c r="A58" s="9" t="n">
        <v>2</v>
      </c>
      <c r="B58" s="10" t="n">
        <f aca="false">ROUND($B$9*($B$7+$B$8*(2-1)),0)</f>
        <v>28132</v>
      </c>
      <c r="C58" s="11" t="n">
        <f aca="false">ROUND(B58+(E58-B58)/3,0)</f>
        <v>41717</v>
      </c>
      <c r="D58" s="11" t="n">
        <f aca="false">ROUND(B58+2*(E58-B58)/3,0)</f>
        <v>55302</v>
      </c>
      <c r="E58" s="11" t="n">
        <f aca="false">ROUND(3.1833*($B$7+$B$8*(2-1)),0)</f>
        <v>68887</v>
      </c>
      <c r="F58" s="12" t="n">
        <f aca="false">E58</f>
        <v>68887</v>
      </c>
    </row>
    <row r="59" customFormat="false" ht="15" hidden="false" customHeight="false" outlineLevel="0" collapsed="false">
      <c r="A59" s="9" t="n">
        <v>3</v>
      </c>
      <c r="B59" s="10" t="n">
        <f aca="false">ROUND($B$9*($B$7+$B$8*(3-1)),0)</f>
        <v>35516</v>
      </c>
      <c r="C59" s="11" t="n">
        <f aca="false">ROUND(B59+(E59-B59)/3,0)</f>
        <v>52667</v>
      </c>
      <c r="D59" s="11" t="n">
        <f aca="false">ROUND(B59+2*(E59-B59)/3,0)</f>
        <v>69817</v>
      </c>
      <c r="E59" s="11" t="n">
        <f aca="false">ROUND(3.1833*($B$7+$B$8*(3-1)),0)</f>
        <v>86968</v>
      </c>
      <c r="F59" s="12" t="n">
        <f aca="false">E59</f>
        <v>86968</v>
      </c>
    </row>
    <row r="60" customFormat="false" ht="15" hidden="false" customHeight="false" outlineLevel="0" collapsed="false">
      <c r="A60" s="9" t="n">
        <v>4</v>
      </c>
      <c r="B60" s="10" t="n">
        <f aca="false">ROUND($B$9*($B$7+$B$8*(4-1)),0)</f>
        <v>42900</v>
      </c>
      <c r="C60" s="11" t="n">
        <f aca="false">ROUND(B60+(E60-B60)/3,0)</f>
        <v>63616</v>
      </c>
      <c r="D60" s="11" t="n">
        <f aca="false">ROUND(B60+2*(E60-B60)/3,0)</f>
        <v>84333</v>
      </c>
      <c r="E60" s="11" t="n">
        <f aca="false">ROUND(3.1833*($B$7+$B$8*(4-1)),0)</f>
        <v>105049</v>
      </c>
      <c r="F60" s="12" t="n">
        <f aca="false">E60</f>
        <v>105049</v>
      </c>
    </row>
    <row r="61" customFormat="false" ht="15" hidden="false" customHeight="false" outlineLevel="0" collapsed="false">
      <c r="A61" s="9" t="n">
        <v>5</v>
      </c>
      <c r="B61" s="10" t="n">
        <f aca="false">ROUND($B$9*($B$7+$B$8*(5-1)),0)</f>
        <v>50284</v>
      </c>
      <c r="C61" s="11" t="n">
        <f aca="false">ROUND(B61+(E61-B61)/3,0)</f>
        <v>74566</v>
      </c>
      <c r="D61" s="11" t="n">
        <f aca="false">ROUND(B61+2*(E61-B61)/3,0)</f>
        <v>98848</v>
      </c>
      <c r="E61" s="11" t="n">
        <f aca="false">ROUND(3.1833*($B$7+$B$8*(5-1)),0)</f>
        <v>123130</v>
      </c>
      <c r="F61" s="12" t="n">
        <f aca="false">E61</f>
        <v>123130</v>
      </c>
    </row>
    <row r="62" customFormat="false" ht="15" hidden="false" customHeight="false" outlineLevel="0" collapsed="false">
      <c r="A62" s="9" t="n">
        <v>6</v>
      </c>
      <c r="B62" s="10" t="n">
        <f aca="false">ROUND($B$9*($B$7+$B$8*(6-1)),0)</f>
        <v>57668</v>
      </c>
      <c r="C62" s="11" t="n">
        <f aca="false">ROUND(B62+(E62-B62)/3,0)</f>
        <v>85516</v>
      </c>
      <c r="D62" s="11" t="n">
        <f aca="false">ROUND(B62+2*(E62-B62)/3,0)</f>
        <v>113363</v>
      </c>
      <c r="E62" s="11" t="n">
        <f aca="false">ROUND(3.1833*($B$7+$B$8*(6-1)),0)</f>
        <v>141211</v>
      </c>
      <c r="F62" s="12" t="n">
        <f aca="false">E62</f>
        <v>141211</v>
      </c>
    </row>
    <row r="63" customFormat="false" ht="15" hidden="false" customHeight="false" outlineLevel="0" collapsed="false">
      <c r="A63" s="9" t="n">
        <v>7</v>
      </c>
      <c r="B63" s="10" t="n">
        <f aca="false">ROUND($B$9*($B$7+$B$8*(7-1)),0)</f>
        <v>65052</v>
      </c>
      <c r="C63" s="11" t="n">
        <f aca="false">ROUND(B63+(E63-B63)/3,0)</f>
        <v>96465</v>
      </c>
      <c r="D63" s="11" t="n">
        <f aca="false">ROUND(B63+2*(E63-B63)/3,0)</f>
        <v>127879</v>
      </c>
      <c r="E63" s="11" t="n">
        <f aca="false">ROUND(3.1833*($B$7+$B$8*(7-1)),0)</f>
        <v>159292</v>
      </c>
      <c r="F63" s="12" t="n">
        <f aca="false">E63</f>
        <v>159292</v>
      </c>
    </row>
    <row r="64" customFormat="false" ht="15" hidden="false" customHeight="false" outlineLevel="0" collapsed="false">
      <c r="A64" s="9" t="n">
        <v>8</v>
      </c>
      <c r="B64" s="10" t="n">
        <f aca="false">ROUND($B$9*($B$7+$B$8*(8-1)),0)</f>
        <v>72436</v>
      </c>
      <c r="C64" s="11" t="n">
        <f aca="false">ROUND(B64+(E64-B64)/3,0)</f>
        <v>107415</v>
      </c>
      <c r="D64" s="11" t="n">
        <f aca="false">ROUND(B64+2*(E64-B64)/3,0)</f>
        <v>142394</v>
      </c>
      <c r="E64" s="11" t="n">
        <f aca="false">ROUND(3.1833*($B$7+$B$8*(8-1)),0)</f>
        <v>177373</v>
      </c>
      <c r="F64" s="12" t="n">
        <f aca="false">E64</f>
        <v>177373</v>
      </c>
    </row>
    <row r="68" customFormat="false" ht="15" hidden="false" customHeight="false" outlineLevel="0" collapsed="false">
      <c r="A68" s="4" t="s">
        <v>40</v>
      </c>
      <c r="F68" s="6" t="s">
        <v>41</v>
      </c>
    </row>
    <row r="69" customFormat="false" ht="22.35" hidden="false" customHeight="false" outlineLevel="0" collapsed="false">
      <c r="A69" s="8" t="s">
        <v>16</v>
      </c>
      <c r="B69" s="8" t="s">
        <v>17</v>
      </c>
      <c r="C69" s="8" t="s">
        <v>42</v>
      </c>
      <c r="D69" s="8" t="s">
        <v>43</v>
      </c>
      <c r="E69" s="8" t="s">
        <v>44</v>
      </c>
      <c r="F69" s="8" t="s">
        <v>45</v>
      </c>
    </row>
    <row r="70" customFormat="false" ht="15" hidden="false" customHeight="false" outlineLevel="0" collapsed="false">
      <c r="A70" s="9" t="n">
        <v>1</v>
      </c>
      <c r="B70" s="10" t="n">
        <f aca="false">ROUND($B$10*($B$7+$B$8*(1-1)),0)</f>
        <v>29526</v>
      </c>
      <c r="C70" s="11" t="n">
        <f aca="false">ROUND(B70+(E70-B70)/3,0)</f>
        <v>39479</v>
      </c>
      <c r="D70" s="11" t="n">
        <f aca="false">ROUND(B70+2*(E70-B70)/3,0)</f>
        <v>49433</v>
      </c>
      <c r="E70" s="11" t="n">
        <f aca="false">ROUND(3.7209*($B$7+$B$8*(1-1)),0)</f>
        <v>59386</v>
      </c>
      <c r="F70" s="12" t="n">
        <f aca="false">E70</f>
        <v>59386</v>
      </c>
    </row>
    <row r="71" customFormat="false" ht="15" hidden="false" customHeight="false" outlineLevel="0" collapsed="false">
      <c r="A71" s="9" t="n">
        <v>2</v>
      </c>
      <c r="B71" s="10" t="n">
        <f aca="false">ROUND($B$10*($B$7+$B$8*(2-1)),0)</f>
        <v>40034</v>
      </c>
      <c r="C71" s="11" t="n">
        <f aca="false">ROUND(B71+(E71-B71)/3,0)</f>
        <v>53529</v>
      </c>
      <c r="D71" s="11" t="n">
        <f aca="false">ROUND(B71+2*(E71-B71)/3,0)</f>
        <v>67025</v>
      </c>
      <c r="E71" s="11" t="n">
        <f aca="false">ROUND(3.7209*($B$7+$B$8*(2-1)),0)</f>
        <v>80520</v>
      </c>
      <c r="F71" s="12" t="n">
        <f aca="false">E71</f>
        <v>80520</v>
      </c>
    </row>
    <row r="72" customFormat="false" ht="15" hidden="false" customHeight="false" outlineLevel="0" collapsed="false">
      <c r="A72" s="9" t="n">
        <v>3</v>
      </c>
      <c r="B72" s="10" t="n">
        <f aca="false">ROUND($B$10*($B$7+$B$8*(3-1)),0)</f>
        <v>50542</v>
      </c>
      <c r="C72" s="11" t="n">
        <f aca="false">ROUND(B72+(E72-B72)/3,0)</f>
        <v>67580</v>
      </c>
      <c r="D72" s="11" t="n">
        <f aca="false">ROUND(B72+2*(E72-B72)/3,0)</f>
        <v>84617</v>
      </c>
      <c r="E72" s="11" t="n">
        <f aca="false">ROUND(3.7209*($B$7+$B$8*(3-1)),0)</f>
        <v>101655</v>
      </c>
      <c r="F72" s="12" t="n">
        <f aca="false">E72</f>
        <v>101655</v>
      </c>
    </row>
    <row r="73" customFormat="false" ht="15" hidden="false" customHeight="false" outlineLevel="0" collapsed="false">
      <c r="A73" s="9" t="n">
        <v>4</v>
      </c>
      <c r="B73" s="10" t="n">
        <f aca="false">ROUND($B$10*($B$7+$B$8*(4-1)),0)</f>
        <v>61050</v>
      </c>
      <c r="C73" s="11" t="n">
        <f aca="false">ROUND(B73+(E73-B73)/3,0)</f>
        <v>81630</v>
      </c>
      <c r="D73" s="11" t="n">
        <f aca="false">ROUND(B73+2*(E73-B73)/3,0)</f>
        <v>102210</v>
      </c>
      <c r="E73" s="11" t="n">
        <f aca="false">ROUND(3.7209*($B$7+$B$8*(4-1)),0)</f>
        <v>122790</v>
      </c>
      <c r="F73" s="12" t="n">
        <f aca="false">E73</f>
        <v>122790</v>
      </c>
    </row>
    <row r="74" customFormat="false" ht="15" hidden="false" customHeight="false" outlineLevel="0" collapsed="false">
      <c r="A74" s="9" t="n">
        <v>5</v>
      </c>
      <c r="B74" s="10" t="n">
        <f aca="false">ROUND($B$10*($B$7+$B$8*(5-1)),0)</f>
        <v>71558</v>
      </c>
      <c r="C74" s="11" t="n">
        <f aca="false">ROUND(B74+(E74-B74)/3,0)</f>
        <v>95680</v>
      </c>
      <c r="D74" s="11" t="n">
        <f aca="false">ROUND(B74+2*(E74-B74)/3,0)</f>
        <v>119802</v>
      </c>
      <c r="E74" s="11" t="n">
        <f aca="false">ROUND(3.7209*($B$7+$B$8*(5-1)),0)</f>
        <v>143924</v>
      </c>
      <c r="F74" s="12" t="n">
        <f aca="false">E74</f>
        <v>143924</v>
      </c>
    </row>
    <row r="75" customFormat="false" ht="15" hidden="false" customHeight="false" outlineLevel="0" collapsed="false">
      <c r="A75" s="9" t="n">
        <v>6</v>
      </c>
      <c r="B75" s="10" t="n">
        <f aca="false">ROUND($B$10*($B$7+$B$8*(6-1)),0)</f>
        <v>82066</v>
      </c>
      <c r="C75" s="11" t="n">
        <f aca="false">ROUND(B75+(E75-B75)/3,0)</f>
        <v>109730</v>
      </c>
      <c r="D75" s="11" t="n">
        <f aca="false">ROUND(B75+2*(E75-B75)/3,0)</f>
        <v>137395</v>
      </c>
      <c r="E75" s="11" t="n">
        <f aca="false">ROUND(3.7209*($B$7+$B$8*(6-1)),0)</f>
        <v>165059</v>
      </c>
      <c r="F75" s="12" t="n">
        <f aca="false">E75</f>
        <v>165059</v>
      </c>
    </row>
    <row r="76" customFormat="false" ht="15" hidden="false" customHeight="false" outlineLevel="0" collapsed="false">
      <c r="A76" s="9" t="n">
        <v>7</v>
      </c>
      <c r="B76" s="10" t="n">
        <f aca="false">ROUND($B$10*($B$7+$B$8*(7-1)),0)</f>
        <v>92574</v>
      </c>
      <c r="C76" s="11" t="n">
        <f aca="false">ROUND(B76+(E76-B76)/3,0)</f>
        <v>123781</v>
      </c>
      <c r="D76" s="11" t="n">
        <f aca="false">ROUND(B76+2*(E76-B76)/3,0)</f>
        <v>154987</v>
      </c>
      <c r="E76" s="11" t="n">
        <f aca="false">ROUND(3.7209*($B$7+$B$8*(7-1)),0)</f>
        <v>186194</v>
      </c>
      <c r="F76" s="12" t="n">
        <f aca="false">E76</f>
        <v>186194</v>
      </c>
    </row>
    <row r="77" customFormat="false" ht="15" hidden="false" customHeight="false" outlineLevel="0" collapsed="false">
      <c r="A77" s="9" t="n">
        <v>8</v>
      </c>
      <c r="B77" s="10" t="n">
        <f aca="false">ROUND($B$10*($B$7+$B$8*(8-1)),0)</f>
        <v>103082</v>
      </c>
      <c r="C77" s="11" t="n">
        <f aca="false">ROUND(B77+(E77-B77)/3,0)</f>
        <v>137831</v>
      </c>
      <c r="D77" s="11" t="n">
        <f aca="false">ROUND(B77+2*(E77-B77)/3,0)</f>
        <v>172580</v>
      </c>
      <c r="E77" s="11" t="n">
        <f aca="false">ROUND(3.7209*($B$7+$B$8*(8-1)),0)</f>
        <v>207329</v>
      </c>
      <c r="F77" s="12" t="n">
        <f aca="false">E77</f>
        <v>207329</v>
      </c>
    </row>
    <row r="81" customFormat="false" ht="15" hidden="false" customHeight="false" outlineLevel="0" collapsed="false">
      <c r="A81" s="4" t="s">
        <v>46</v>
      </c>
      <c r="F81" s="6" t="s">
        <v>47</v>
      </c>
    </row>
    <row r="82" customFormat="false" ht="22.35" hidden="false" customHeight="false" outlineLevel="0" collapsed="false">
      <c r="A82" s="8" t="s">
        <v>16</v>
      </c>
      <c r="B82" s="8" t="s">
        <v>17</v>
      </c>
      <c r="C82" s="8" t="s">
        <v>48</v>
      </c>
      <c r="D82" s="8" t="s">
        <v>49</v>
      </c>
      <c r="E82" s="8" t="s">
        <v>50</v>
      </c>
      <c r="F82" s="8" t="s">
        <v>51</v>
      </c>
    </row>
    <row r="83" customFormat="false" ht="15" hidden="false" customHeight="false" outlineLevel="0" collapsed="false">
      <c r="A83" s="9" t="n">
        <v>1</v>
      </c>
      <c r="B83" s="10" t="n">
        <f aca="false">ROUND($B$10*($B$7+$B$8*(1-1)),0)</f>
        <v>29526</v>
      </c>
      <c r="C83" s="11" t="n">
        <f aca="false">ROUND(B83+(E83-B83)/3,0)</f>
        <v>39634</v>
      </c>
      <c r="D83" s="11" t="n">
        <f aca="false">ROUND(B83+2*(E83-B83)/3,0)</f>
        <v>49742</v>
      </c>
      <c r="E83" s="11" t="n">
        <f aca="false">ROUND(3.75*($B$7+$B$8*(1-1)),0)</f>
        <v>59850</v>
      </c>
      <c r="F83" s="12" t="n">
        <f aca="false">E83</f>
        <v>59850</v>
      </c>
    </row>
    <row r="84" customFormat="false" ht="15" hidden="false" customHeight="false" outlineLevel="0" collapsed="false">
      <c r="A84" s="9" t="n">
        <v>2</v>
      </c>
      <c r="B84" s="10" t="n">
        <f aca="false">ROUND($B$10*($B$7+$B$8*(2-1)),0)</f>
        <v>40034</v>
      </c>
      <c r="C84" s="11" t="n">
        <f aca="false">ROUND(B84+(E84-B84)/3,0)</f>
        <v>53739</v>
      </c>
      <c r="D84" s="11" t="n">
        <f aca="false">ROUND(B84+2*(E84-B84)/3,0)</f>
        <v>67445</v>
      </c>
      <c r="E84" s="11" t="n">
        <f aca="false">ROUND(3.75*($B$7+$B$8*(2-1)),0)</f>
        <v>81150</v>
      </c>
      <c r="F84" s="12" t="n">
        <f aca="false">E84</f>
        <v>81150</v>
      </c>
    </row>
    <row r="85" customFormat="false" ht="15" hidden="false" customHeight="false" outlineLevel="0" collapsed="false">
      <c r="A85" s="9" t="n">
        <v>3</v>
      </c>
      <c r="B85" s="10" t="n">
        <f aca="false">ROUND($B$10*($B$7+$B$8*(3-1)),0)</f>
        <v>50542</v>
      </c>
      <c r="C85" s="11" t="n">
        <f aca="false">ROUND(B85+(E85-B85)/3,0)</f>
        <v>67845</v>
      </c>
      <c r="D85" s="11" t="n">
        <f aca="false">ROUND(B85+2*(E85-B85)/3,0)</f>
        <v>85147</v>
      </c>
      <c r="E85" s="11" t="n">
        <f aca="false">ROUND(3.75*($B$7+$B$8*(3-1)),0)</f>
        <v>102450</v>
      </c>
      <c r="F85" s="12" t="n">
        <f aca="false">E85</f>
        <v>102450</v>
      </c>
    </row>
    <row r="86" customFormat="false" ht="15" hidden="false" customHeight="false" outlineLevel="0" collapsed="false">
      <c r="A86" s="9" t="n">
        <v>4</v>
      </c>
      <c r="B86" s="10" t="n">
        <f aca="false">ROUND($B$10*($B$7+$B$8*(4-1)),0)</f>
        <v>61050</v>
      </c>
      <c r="C86" s="11" t="n">
        <f aca="false">ROUND(B86+(E86-B86)/3,0)</f>
        <v>81950</v>
      </c>
      <c r="D86" s="11" t="n">
        <f aca="false">ROUND(B86+2*(E86-B86)/3,0)</f>
        <v>102850</v>
      </c>
      <c r="E86" s="11" t="n">
        <f aca="false">ROUND(3.75*($B$7+$B$8*(4-1)),0)</f>
        <v>123750</v>
      </c>
      <c r="F86" s="12" t="n">
        <f aca="false">E86</f>
        <v>123750</v>
      </c>
    </row>
    <row r="87" customFormat="false" ht="15" hidden="false" customHeight="false" outlineLevel="0" collapsed="false">
      <c r="A87" s="9" t="n">
        <v>5</v>
      </c>
      <c r="B87" s="10" t="n">
        <f aca="false">ROUND($B$10*($B$7+$B$8*(5-1)),0)</f>
        <v>71558</v>
      </c>
      <c r="C87" s="11" t="n">
        <f aca="false">ROUND(B87+(E87-B87)/3,0)</f>
        <v>96055</v>
      </c>
      <c r="D87" s="11" t="n">
        <f aca="false">ROUND(B87+2*(E87-B87)/3,0)</f>
        <v>120553</v>
      </c>
      <c r="E87" s="11" t="n">
        <f aca="false">ROUND(3.75*($B$7+$B$8*(5-1)),0)</f>
        <v>145050</v>
      </c>
      <c r="F87" s="12" t="n">
        <f aca="false">E87</f>
        <v>145050</v>
      </c>
    </row>
    <row r="88" customFormat="false" ht="15" hidden="false" customHeight="false" outlineLevel="0" collapsed="false">
      <c r="A88" s="9" t="n">
        <v>6</v>
      </c>
      <c r="B88" s="10" t="n">
        <f aca="false">ROUND($B$10*($B$7+$B$8*(6-1)),0)</f>
        <v>82066</v>
      </c>
      <c r="C88" s="11" t="n">
        <f aca="false">ROUND(B88+(E88-B88)/3,0)</f>
        <v>110161</v>
      </c>
      <c r="D88" s="11" t="n">
        <f aca="false">ROUND(B88+2*(E88-B88)/3,0)</f>
        <v>138255</v>
      </c>
      <c r="E88" s="11" t="n">
        <f aca="false">ROUND(3.75*($B$7+$B$8*(6-1)),0)</f>
        <v>166350</v>
      </c>
      <c r="F88" s="12" t="n">
        <f aca="false">E88</f>
        <v>166350</v>
      </c>
    </row>
    <row r="89" customFormat="false" ht="15" hidden="false" customHeight="false" outlineLevel="0" collapsed="false">
      <c r="A89" s="9" t="n">
        <v>7</v>
      </c>
      <c r="B89" s="10" t="n">
        <f aca="false">ROUND($B$10*($B$7+$B$8*(7-1)),0)</f>
        <v>92574</v>
      </c>
      <c r="C89" s="11" t="n">
        <f aca="false">ROUND(B89+(E89-B89)/3,0)</f>
        <v>124266</v>
      </c>
      <c r="D89" s="11" t="n">
        <f aca="false">ROUND(B89+2*(E89-B89)/3,0)</f>
        <v>155958</v>
      </c>
      <c r="E89" s="11" t="n">
        <f aca="false">ROUND(3.75*($B$7+$B$8*(7-1)),0)</f>
        <v>187650</v>
      </c>
      <c r="F89" s="12" t="n">
        <f aca="false">E89</f>
        <v>187650</v>
      </c>
    </row>
    <row r="90" customFormat="false" ht="15" hidden="false" customHeight="false" outlineLevel="0" collapsed="false">
      <c r="A90" s="9" t="n">
        <v>8</v>
      </c>
      <c r="B90" s="10" t="n">
        <f aca="false">ROUND($B$10*($B$7+$B$8*(8-1)),0)</f>
        <v>103082</v>
      </c>
      <c r="C90" s="11" t="n">
        <f aca="false">ROUND(B90+(E90-B90)/3,0)</f>
        <v>138371</v>
      </c>
      <c r="D90" s="11" t="n">
        <f aca="false">ROUND(B90+2*(E90-B90)/3,0)</f>
        <v>173661</v>
      </c>
      <c r="E90" s="11" t="n">
        <f aca="false">ROUND(3.75*($B$7+$B$8*(8-1)),0)</f>
        <v>208950</v>
      </c>
      <c r="F90" s="12" t="n">
        <f aca="false">E90</f>
        <v>208950</v>
      </c>
    </row>
    <row r="94" customFormat="false" ht="15" hidden="false" customHeight="false" outlineLevel="0" collapsed="false">
      <c r="A94" s="4" t="s">
        <v>52</v>
      </c>
      <c r="F94" s="6" t="s">
        <v>53</v>
      </c>
    </row>
    <row r="95" customFormat="false" ht="22.35" hidden="false" customHeight="false" outlineLevel="0" collapsed="false">
      <c r="A95" s="8" t="s">
        <v>16</v>
      </c>
      <c r="B95" s="8" t="s">
        <v>17</v>
      </c>
      <c r="C95" s="8" t="s">
        <v>54</v>
      </c>
      <c r="D95" s="8" t="s">
        <v>55</v>
      </c>
      <c r="E95" s="8" t="s">
        <v>56</v>
      </c>
      <c r="F95" s="8" t="s">
        <v>57</v>
      </c>
    </row>
    <row r="96" customFormat="false" ht="15" hidden="false" customHeight="false" outlineLevel="0" collapsed="false">
      <c r="A96" s="9" t="n">
        <v>1</v>
      </c>
      <c r="B96" s="10" t="n">
        <f aca="false">ROUND($B$10*($B$7+$B$8*(1-1)),0)</f>
        <v>29526</v>
      </c>
      <c r="C96" s="11" t="n">
        <f aca="false">ROUND(B96+(E96-B96)/3,0)</f>
        <v>39758</v>
      </c>
      <c r="D96" s="11" t="n">
        <f aca="false">ROUND(B96+2*(E96-B96)/3,0)</f>
        <v>49990</v>
      </c>
      <c r="E96" s="11" t="n">
        <f aca="false">ROUND(3.7733*($B$7+$B$8*(1-1)),0)</f>
        <v>60222</v>
      </c>
      <c r="F96" s="12" t="n">
        <f aca="false">E96</f>
        <v>60222</v>
      </c>
    </row>
    <row r="97" customFormat="false" ht="15" hidden="false" customHeight="false" outlineLevel="0" collapsed="false">
      <c r="A97" s="9" t="n">
        <v>2</v>
      </c>
      <c r="B97" s="10" t="n">
        <f aca="false">ROUND($B$10*($B$7+$B$8*(2-1)),0)</f>
        <v>40034</v>
      </c>
      <c r="C97" s="11" t="n">
        <f aca="false">ROUND(B97+(E97-B97)/3,0)</f>
        <v>53907</v>
      </c>
      <c r="D97" s="11" t="n">
        <f aca="false">ROUND(B97+2*(E97-B97)/3,0)</f>
        <v>67781</v>
      </c>
      <c r="E97" s="11" t="n">
        <f aca="false">ROUND(3.7733*($B$7+$B$8*(2-1)),0)</f>
        <v>81654</v>
      </c>
      <c r="F97" s="12" t="n">
        <f aca="false">E97</f>
        <v>81654</v>
      </c>
    </row>
    <row r="98" customFormat="false" ht="15" hidden="false" customHeight="false" outlineLevel="0" collapsed="false">
      <c r="A98" s="9" t="n">
        <v>3</v>
      </c>
      <c r="B98" s="10" t="n">
        <f aca="false">ROUND($B$10*($B$7+$B$8*(3-1)),0)</f>
        <v>50542</v>
      </c>
      <c r="C98" s="11" t="n">
        <f aca="false">ROUND(B98+(E98-B98)/3,0)</f>
        <v>68057</v>
      </c>
      <c r="D98" s="11" t="n">
        <f aca="false">ROUND(B98+2*(E98-B98)/3,0)</f>
        <v>85572</v>
      </c>
      <c r="E98" s="11" t="n">
        <f aca="false">ROUND(3.7733*($B$7+$B$8*(3-1)),0)</f>
        <v>103087</v>
      </c>
      <c r="F98" s="12" t="n">
        <f aca="false">E98</f>
        <v>103087</v>
      </c>
    </row>
    <row r="99" customFormat="false" ht="15" hidden="false" customHeight="false" outlineLevel="0" collapsed="false">
      <c r="A99" s="9" t="n">
        <v>4</v>
      </c>
      <c r="B99" s="10" t="n">
        <f aca="false">ROUND($B$10*($B$7+$B$8*(4-1)),0)</f>
        <v>61050</v>
      </c>
      <c r="C99" s="11" t="n">
        <f aca="false">ROUND(B99+(E99-B99)/3,0)</f>
        <v>82206</v>
      </c>
      <c r="D99" s="11" t="n">
        <f aca="false">ROUND(B99+2*(E99-B99)/3,0)</f>
        <v>103363</v>
      </c>
      <c r="E99" s="11" t="n">
        <f aca="false">ROUND(3.7733*($B$7+$B$8*(4-1)),0)</f>
        <v>124519</v>
      </c>
      <c r="F99" s="12" t="n">
        <f aca="false">E99</f>
        <v>124519</v>
      </c>
    </row>
    <row r="100" customFormat="false" ht="15" hidden="false" customHeight="false" outlineLevel="0" collapsed="false">
      <c r="A100" s="9" t="n">
        <v>5</v>
      </c>
      <c r="B100" s="10" t="n">
        <f aca="false">ROUND($B$10*($B$7+$B$8*(5-1)),0)</f>
        <v>71558</v>
      </c>
      <c r="C100" s="11" t="n">
        <f aca="false">ROUND(B100+(E100-B100)/3,0)</f>
        <v>96356</v>
      </c>
      <c r="D100" s="11" t="n">
        <f aca="false">ROUND(B100+2*(E100-B100)/3,0)</f>
        <v>121153</v>
      </c>
      <c r="E100" s="11" t="n">
        <f aca="false">ROUND(3.7733*($B$7+$B$8*(5-1)),0)</f>
        <v>145951</v>
      </c>
      <c r="F100" s="12" t="n">
        <f aca="false">E100</f>
        <v>145951</v>
      </c>
    </row>
    <row r="101" customFormat="false" ht="15" hidden="false" customHeight="false" outlineLevel="0" collapsed="false">
      <c r="A101" s="9" t="n">
        <v>6</v>
      </c>
      <c r="B101" s="10" t="n">
        <f aca="false">ROUND($B$10*($B$7+$B$8*(6-1)),0)</f>
        <v>82066</v>
      </c>
      <c r="C101" s="11" t="n">
        <f aca="false">ROUND(B101+(E101-B101)/3,0)</f>
        <v>110505</v>
      </c>
      <c r="D101" s="11" t="n">
        <f aca="false">ROUND(B101+2*(E101-B101)/3,0)</f>
        <v>138945</v>
      </c>
      <c r="E101" s="11" t="n">
        <f aca="false">ROUND(3.7733*($B$7+$B$8*(6-1)),0)</f>
        <v>167384</v>
      </c>
      <c r="F101" s="12" t="n">
        <f aca="false">E101</f>
        <v>167384</v>
      </c>
    </row>
    <row r="102" customFormat="false" ht="15" hidden="false" customHeight="false" outlineLevel="0" collapsed="false">
      <c r="A102" s="9" t="n">
        <v>7</v>
      </c>
      <c r="B102" s="10" t="n">
        <f aca="false">ROUND($B$10*($B$7+$B$8*(7-1)),0)</f>
        <v>92574</v>
      </c>
      <c r="C102" s="11" t="n">
        <f aca="false">ROUND(B102+(E102-B102)/3,0)</f>
        <v>124655</v>
      </c>
      <c r="D102" s="11" t="n">
        <f aca="false">ROUND(B102+2*(E102-B102)/3,0)</f>
        <v>156735</v>
      </c>
      <c r="E102" s="11" t="n">
        <f aca="false">ROUND(3.7733*($B$7+$B$8*(7-1)),0)</f>
        <v>188816</v>
      </c>
      <c r="F102" s="12" t="n">
        <f aca="false">E102</f>
        <v>188816</v>
      </c>
    </row>
    <row r="103" customFormat="false" ht="15" hidden="false" customHeight="false" outlineLevel="0" collapsed="false">
      <c r="A103" s="9" t="n">
        <v>8</v>
      </c>
      <c r="B103" s="10" t="n">
        <f aca="false">ROUND($B$10*($B$7+$B$8*(8-1)),0)</f>
        <v>103082</v>
      </c>
      <c r="C103" s="11" t="n">
        <f aca="false">ROUND(B103+(E103-B103)/3,0)</f>
        <v>138804</v>
      </c>
      <c r="D103" s="11" t="n">
        <f aca="false">ROUND(B103+2*(E103-B103)/3,0)</f>
        <v>174526</v>
      </c>
      <c r="E103" s="11" t="n">
        <f aca="false">ROUND(3.7733*($B$7+$B$8*(8-1)),0)</f>
        <v>210248</v>
      </c>
      <c r="F103" s="12" t="n">
        <f aca="false">E103</f>
        <v>210248</v>
      </c>
    </row>
    <row r="107" customFormat="false" ht="15" hidden="false" customHeight="false" outlineLevel="0" collapsed="false">
      <c r="A107" s="4" t="s">
        <v>58</v>
      </c>
      <c r="F107" s="6" t="s">
        <v>59</v>
      </c>
    </row>
    <row r="108" customFormat="false" ht="22.35" hidden="false" customHeight="false" outlineLevel="0" collapsed="false">
      <c r="A108" s="8" t="s">
        <v>16</v>
      </c>
      <c r="B108" s="8" t="s">
        <v>17</v>
      </c>
      <c r="C108" s="8" t="s">
        <v>60</v>
      </c>
      <c r="D108" s="8" t="s">
        <v>61</v>
      </c>
      <c r="E108" s="8" t="s">
        <v>62</v>
      </c>
      <c r="F108" s="8" t="s">
        <v>63</v>
      </c>
    </row>
    <row r="109" customFormat="false" ht="15" hidden="false" customHeight="false" outlineLevel="0" collapsed="false">
      <c r="A109" s="9" t="n">
        <v>1</v>
      </c>
      <c r="B109" s="10" t="n">
        <f aca="false">ROUND($B$10*($B$7+$B$8*(1-1)),0)</f>
        <v>29526</v>
      </c>
      <c r="C109" s="11" t="n">
        <f aca="false">ROUND(B109+(E109-B109)/3,0)</f>
        <v>40438</v>
      </c>
      <c r="D109" s="11" t="n">
        <f aca="false">ROUND(B109+2*(E109-B109)/3,0)</f>
        <v>51351</v>
      </c>
      <c r="E109" s="11" t="n">
        <f aca="false">ROUND(3.9012*($B$7+$B$8*(1-1)),0)</f>
        <v>62263</v>
      </c>
      <c r="F109" s="12" t="n">
        <f aca="false">E109</f>
        <v>62263</v>
      </c>
    </row>
    <row r="110" customFormat="false" ht="15" hidden="false" customHeight="false" outlineLevel="0" collapsed="false">
      <c r="A110" s="9" t="n">
        <v>2</v>
      </c>
      <c r="B110" s="10" t="n">
        <f aca="false">ROUND($B$10*($B$7+$B$8*(2-1)),0)</f>
        <v>40034</v>
      </c>
      <c r="C110" s="11" t="n">
        <f aca="false">ROUND(B110+(E110-B110)/3,0)</f>
        <v>54830</v>
      </c>
      <c r="D110" s="11" t="n">
        <f aca="false">ROUND(B110+2*(E110-B110)/3,0)</f>
        <v>69626</v>
      </c>
      <c r="E110" s="11" t="n">
        <f aca="false">ROUND(3.9012*($B$7+$B$8*(2-1)),0)</f>
        <v>84422</v>
      </c>
      <c r="F110" s="12" t="n">
        <f aca="false">E110</f>
        <v>84422</v>
      </c>
    </row>
    <row r="111" customFormat="false" ht="15" hidden="false" customHeight="false" outlineLevel="0" collapsed="false">
      <c r="A111" s="9" t="n">
        <v>3</v>
      </c>
      <c r="B111" s="10" t="n">
        <f aca="false">ROUND($B$10*($B$7+$B$8*(3-1)),0)</f>
        <v>50542</v>
      </c>
      <c r="C111" s="11" t="n">
        <f aca="false">ROUND(B111+(E111-B111)/3,0)</f>
        <v>69222</v>
      </c>
      <c r="D111" s="11" t="n">
        <f aca="false">ROUND(B111+2*(E111-B111)/3,0)</f>
        <v>87901</v>
      </c>
      <c r="E111" s="11" t="n">
        <f aca="false">ROUND(3.9012*($B$7+$B$8*(3-1)),0)</f>
        <v>106581</v>
      </c>
      <c r="F111" s="12" t="n">
        <f aca="false">E111</f>
        <v>106581</v>
      </c>
    </row>
    <row r="112" customFormat="false" ht="15" hidden="false" customHeight="false" outlineLevel="0" collapsed="false">
      <c r="A112" s="9" t="n">
        <v>4</v>
      </c>
      <c r="B112" s="10" t="n">
        <f aca="false">ROUND($B$10*($B$7+$B$8*(4-1)),0)</f>
        <v>61050</v>
      </c>
      <c r="C112" s="11" t="n">
        <f aca="false">ROUND(B112+(E112-B112)/3,0)</f>
        <v>83613</v>
      </c>
      <c r="D112" s="11" t="n">
        <f aca="false">ROUND(B112+2*(E112-B112)/3,0)</f>
        <v>106177</v>
      </c>
      <c r="E112" s="11" t="n">
        <f aca="false">ROUND(3.9012*($B$7+$B$8*(4-1)),0)</f>
        <v>128740</v>
      </c>
      <c r="F112" s="12" t="n">
        <f aca="false">E112</f>
        <v>128740</v>
      </c>
    </row>
    <row r="113" customFormat="false" ht="15" hidden="false" customHeight="false" outlineLevel="0" collapsed="false">
      <c r="A113" s="9" t="n">
        <v>5</v>
      </c>
      <c r="B113" s="10" t="n">
        <f aca="false">ROUND($B$10*($B$7+$B$8*(5-1)),0)</f>
        <v>71558</v>
      </c>
      <c r="C113" s="11" t="n">
        <f aca="false">ROUND(B113+(E113-B113)/3,0)</f>
        <v>98005</v>
      </c>
      <c r="D113" s="11" t="n">
        <f aca="false">ROUND(B113+2*(E113-B113)/3,0)</f>
        <v>124451</v>
      </c>
      <c r="E113" s="11" t="n">
        <f aca="false">ROUND(3.9012*($B$7+$B$8*(5-1)),0)</f>
        <v>150898</v>
      </c>
      <c r="F113" s="12" t="n">
        <f aca="false">E113</f>
        <v>150898</v>
      </c>
    </row>
    <row r="114" customFormat="false" ht="15" hidden="false" customHeight="false" outlineLevel="0" collapsed="false">
      <c r="A114" s="9" t="n">
        <v>6</v>
      </c>
      <c r="B114" s="10" t="n">
        <f aca="false">ROUND($B$10*($B$7+$B$8*(6-1)),0)</f>
        <v>82066</v>
      </c>
      <c r="C114" s="11" t="n">
        <f aca="false">ROUND(B114+(E114-B114)/3,0)</f>
        <v>112396</v>
      </c>
      <c r="D114" s="11" t="n">
        <f aca="false">ROUND(B114+2*(E114-B114)/3,0)</f>
        <v>142727</v>
      </c>
      <c r="E114" s="11" t="n">
        <f aca="false">ROUND(3.9012*($B$7+$B$8*(6-1)),0)</f>
        <v>173057</v>
      </c>
      <c r="F114" s="12" t="n">
        <f aca="false">E114</f>
        <v>173057</v>
      </c>
    </row>
    <row r="115" customFormat="false" ht="15" hidden="false" customHeight="false" outlineLevel="0" collapsed="false">
      <c r="A115" s="9" t="n">
        <v>7</v>
      </c>
      <c r="B115" s="10" t="n">
        <f aca="false">ROUND($B$10*($B$7+$B$8*(7-1)),0)</f>
        <v>92574</v>
      </c>
      <c r="C115" s="11" t="n">
        <f aca="false">ROUND(B115+(E115-B115)/3,0)</f>
        <v>126788</v>
      </c>
      <c r="D115" s="11" t="n">
        <f aca="false">ROUND(B115+2*(E115-B115)/3,0)</f>
        <v>161002</v>
      </c>
      <c r="E115" s="11" t="n">
        <f aca="false">ROUND(3.9012*($B$7+$B$8*(7-1)),0)</f>
        <v>195216</v>
      </c>
      <c r="F115" s="12" t="n">
        <f aca="false">E115</f>
        <v>195216</v>
      </c>
    </row>
    <row r="116" customFormat="false" ht="15" hidden="false" customHeight="false" outlineLevel="0" collapsed="false">
      <c r="A116" s="9" t="n">
        <v>8</v>
      </c>
      <c r="B116" s="10" t="n">
        <f aca="false">ROUND($B$10*($B$7+$B$8*(8-1)),0)</f>
        <v>103082</v>
      </c>
      <c r="C116" s="11" t="n">
        <f aca="false">ROUND(B116+(E116-B116)/3,0)</f>
        <v>141180</v>
      </c>
      <c r="D116" s="11" t="n">
        <f aca="false">ROUND(B116+2*(E116-B116)/3,0)</f>
        <v>179277</v>
      </c>
      <c r="E116" s="11" t="n">
        <f aca="false">ROUND(3.9012*($B$7+$B$8*(8-1)),0)</f>
        <v>217375</v>
      </c>
      <c r="F116" s="12" t="n">
        <f aca="false">E116</f>
        <v>217375</v>
      </c>
    </row>
    <row r="120" customFormat="false" ht="15" hidden="false" customHeight="false" outlineLevel="0" collapsed="false">
      <c r="A120" s="4" t="s">
        <v>64</v>
      </c>
      <c r="F120" s="6" t="s">
        <v>65</v>
      </c>
    </row>
    <row r="121" customFormat="false" ht="22.35" hidden="false" customHeight="false" outlineLevel="0" collapsed="false">
      <c r="A121" s="8" t="s">
        <v>16</v>
      </c>
      <c r="B121" s="8" t="s">
        <v>17</v>
      </c>
      <c r="C121" s="8" t="s">
        <v>66</v>
      </c>
      <c r="D121" s="8" t="s">
        <v>67</v>
      </c>
      <c r="E121" s="8" t="s">
        <v>68</v>
      </c>
      <c r="F121" s="8" t="s">
        <v>69</v>
      </c>
    </row>
    <row r="122" customFormat="false" ht="15" hidden="false" customHeight="false" outlineLevel="0" collapsed="false">
      <c r="A122" s="9" t="n">
        <v>1</v>
      </c>
      <c r="B122" s="10" t="n">
        <f aca="false">ROUND($B$10*($B$7+$B$8*(1-1)),0)</f>
        <v>29526</v>
      </c>
      <c r="C122" s="11" t="n">
        <f aca="false">ROUND(B122+(E122-B122)/3,0)</f>
        <v>40717</v>
      </c>
      <c r="D122" s="11" t="n">
        <f aca="false">ROUND(B122+2*(E122-B122)/3,0)</f>
        <v>51907</v>
      </c>
      <c r="E122" s="11" t="n">
        <f aca="false">ROUND(3.9535*($B$7+$B$8*(1-1)),0)</f>
        <v>63098</v>
      </c>
      <c r="F122" s="12" t="n">
        <f aca="false">E122</f>
        <v>63098</v>
      </c>
    </row>
    <row r="123" customFormat="false" ht="15" hidden="false" customHeight="false" outlineLevel="0" collapsed="false">
      <c r="A123" s="9" t="n">
        <v>2</v>
      </c>
      <c r="B123" s="10" t="n">
        <f aca="false">ROUND($B$10*($B$7+$B$8*(2-1)),0)</f>
        <v>40034</v>
      </c>
      <c r="C123" s="11" t="n">
        <f aca="false">ROUND(B123+(E123-B123)/3,0)</f>
        <v>55207</v>
      </c>
      <c r="D123" s="11" t="n">
        <f aca="false">ROUND(B123+2*(E123-B123)/3,0)</f>
        <v>70381</v>
      </c>
      <c r="E123" s="11" t="n">
        <f aca="false">ROUND(3.9535*($B$7+$B$8*(2-1)),0)</f>
        <v>85554</v>
      </c>
      <c r="F123" s="12" t="n">
        <f aca="false">E123</f>
        <v>85554</v>
      </c>
    </row>
    <row r="124" customFormat="false" ht="15" hidden="false" customHeight="false" outlineLevel="0" collapsed="false">
      <c r="A124" s="9" t="n">
        <v>3</v>
      </c>
      <c r="B124" s="10" t="n">
        <f aca="false">ROUND($B$10*($B$7+$B$8*(3-1)),0)</f>
        <v>50542</v>
      </c>
      <c r="C124" s="11" t="n">
        <f aca="false">ROUND(B124+(E124-B124)/3,0)</f>
        <v>69698</v>
      </c>
      <c r="D124" s="11" t="n">
        <f aca="false">ROUND(B124+2*(E124-B124)/3,0)</f>
        <v>88854</v>
      </c>
      <c r="E124" s="11" t="n">
        <f aca="false">ROUND(3.9535*($B$7+$B$8*(3-1)),0)</f>
        <v>108010</v>
      </c>
      <c r="F124" s="12" t="n">
        <f aca="false">E124</f>
        <v>108010</v>
      </c>
    </row>
    <row r="125" customFormat="false" ht="15" hidden="false" customHeight="false" outlineLevel="0" collapsed="false">
      <c r="A125" s="9" t="n">
        <v>4</v>
      </c>
      <c r="B125" s="10" t="n">
        <f aca="false">ROUND($B$10*($B$7+$B$8*(4-1)),0)</f>
        <v>61050</v>
      </c>
      <c r="C125" s="11" t="n">
        <f aca="false">ROUND(B125+(E125-B125)/3,0)</f>
        <v>84189</v>
      </c>
      <c r="D125" s="11" t="n">
        <f aca="false">ROUND(B125+2*(E125-B125)/3,0)</f>
        <v>107327</v>
      </c>
      <c r="E125" s="11" t="n">
        <f aca="false">ROUND(3.9535*($B$7+$B$8*(4-1)),0)</f>
        <v>130466</v>
      </c>
      <c r="F125" s="12" t="n">
        <f aca="false">E125</f>
        <v>130466</v>
      </c>
    </row>
    <row r="126" customFormat="false" ht="15" hidden="false" customHeight="false" outlineLevel="0" collapsed="false">
      <c r="A126" s="9" t="n">
        <v>5</v>
      </c>
      <c r="B126" s="10" t="n">
        <f aca="false">ROUND($B$10*($B$7+$B$8*(5-1)),0)</f>
        <v>71558</v>
      </c>
      <c r="C126" s="11" t="n">
        <f aca="false">ROUND(B126+(E126-B126)/3,0)</f>
        <v>98679</v>
      </c>
      <c r="D126" s="11" t="n">
        <f aca="false">ROUND(B126+2*(E126-B126)/3,0)</f>
        <v>125800</v>
      </c>
      <c r="E126" s="11" t="n">
        <f aca="false">ROUND(3.9535*($B$7+$B$8*(5-1)),0)</f>
        <v>152921</v>
      </c>
      <c r="F126" s="12" t="n">
        <f aca="false">E126</f>
        <v>152921</v>
      </c>
    </row>
    <row r="127" customFormat="false" ht="15" hidden="false" customHeight="false" outlineLevel="0" collapsed="false">
      <c r="A127" s="9" t="n">
        <v>6</v>
      </c>
      <c r="B127" s="10" t="n">
        <f aca="false">ROUND($B$10*($B$7+$B$8*(6-1)),0)</f>
        <v>82066</v>
      </c>
      <c r="C127" s="11" t="n">
        <f aca="false">ROUND(B127+(E127-B127)/3,0)</f>
        <v>113170</v>
      </c>
      <c r="D127" s="11" t="n">
        <f aca="false">ROUND(B127+2*(E127-B127)/3,0)</f>
        <v>144273</v>
      </c>
      <c r="E127" s="11" t="n">
        <f aca="false">ROUND(3.9535*($B$7+$B$8*(6-1)),0)</f>
        <v>175377</v>
      </c>
      <c r="F127" s="12" t="n">
        <f aca="false">E127</f>
        <v>175377</v>
      </c>
    </row>
    <row r="128" customFormat="false" ht="15" hidden="false" customHeight="false" outlineLevel="0" collapsed="false">
      <c r="A128" s="9" t="n">
        <v>7</v>
      </c>
      <c r="B128" s="10" t="n">
        <f aca="false">ROUND($B$10*($B$7+$B$8*(7-1)),0)</f>
        <v>92574</v>
      </c>
      <c r="C128" s="11" t="n">
        <f aca="false">ROUND(B128+(E128-B128)/3,0)</f>
        <v>127660</v>
      </c>
      <c r="D128" s="11" t="n">
        <f aca="false">ROUND(B128+2*(E128-B128)/3,0)</f>
        <v>162747</v>
      </c>
      <c r="E128" s="11" t="n">
        <f aca="false">ROUND(3.9535*($B$7+$B$8*(7-1)),0)</f>
        <v>197833</v>
      </c>
      <c r="F128" s="12" t="n">
        <f aca="false">E128</f>
        <v>197833</v>
      </c>
    </row>
    <row r="129" customFormat="false" ht="15" hidden="false" customHeight="false" outlineLevel="0" collapsed="false">
      <c r="A129" s="9" t="n">
        <v>8</v>
      </c>
      <c r="B129" s="10" t="n">
        <f aca="false">ROUND($B$10*($B$7+$B$8*(8-1)),0)</f>
        <v>103082</v>
      </c>
      <c r="C129" s="11" t="n">
        <f aca="false">ROUND(B129+(E129-B129)/3,0)</f>
        <v>142151</v>
      </c>
      <c r="D129" s="11" t="n">
        <f aca="false">ROUND(B129+2*(E129-B129)/3,0)</f>
        <v>181220</v>
      </c>
      <c r="E129" s="11" t="n">
        <f aca="false">ROUND(3.9535*($B$7+$B$8*(8-1)),0)</f>
        <v>220289</v>
      </c>
      <c r="F129" s="12" t="n">
        <f aca="false">E129</f>
        <v>220289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2026-09-05T05:46:32Z</dcterms:created>
  <dc:creator>openpyxl</dc:creator>
  <dc:description/>
  <dc:language>en-US</dc:language>
  <cp:lastModifiedBy/>
  <dcterms:modified xsi:type="dcterms:W3CDTF">2026-09-05T05:46:32Z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